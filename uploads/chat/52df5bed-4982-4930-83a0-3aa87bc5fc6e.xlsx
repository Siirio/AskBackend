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0C7834-34CC-4ECB-8783-5FD63FCFA5A1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Лиды" sheetId="1" r:id="rId1"/>
    <sheet name="Дашборд" sheetId="2" r:id="rId2"/>
    <sheet name="Справочники" sheetId="3" r:id="rId3"/>
    <sheet name="Как пользоватьс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C15" i="2"/>
  <c r="B15" i="2"/>
  <c r="C14" i="2"/>
  <c r="B14" i="2"/>
  <c r="C13" i="2"/>
  <c r="B13" i="2"/>
  <c r="C12" i="2"/>
  <c r="B12" i="2"/>
  <c r="C11" i="2"/>
  <c r="B11" i="2"/>
  <c r="B7" i="2"/>
  <c r="B6" i="2"/>
  <c r="B5" i="2"/>
  <c r="B4" i="2"/>
  <c r="B3" i="2"/>
  <c r="B8" i="2" l="1"/>
</calcChain>
</file>

<file path=xl/sharedStrings.xml><?xml version="1.0" encoding="utf-8"?>
<sst xmlns="http://schemas.openxmlformats.org/spreadsheetml/2006/main" count="440" uniqueCount="212">
  <si>
    <t>Город</t>
  </si>
  <si>
    <t>Класс компании</t>
  </si>
  <si>
    <t>Компания</t>
  </si>
  <si>
    <t>Номер / WhatsApp</t>
  </si>
  <si>
    <t>Instagram / сайт</t>
  </si>
  <si>
    <t>2GIS / источник</t>
  </si>
  <si>
    <t>Статус</t>
  </si>
  <si>
    <t>Приоритет</t>
  </si>
  <si>
    <t>Дата последнего контакта</t>
  </si>
  <si>
    <t>Следующий follow-up</t>
  </si>
  <si>
    <t>Комментарий</t>
  </si>
  <si>
    <t>Астана</t>
  </si>
  <si>
    <t>Спортпит</t>
  </si>
  <si>
    <t>BodyFit</t>
  </si>
  <si>
    <t>+7 700 700 12 65; +7 7172 97 20 17</t>
  </si>
  <si>
    <t>https://bodyfit.kz/contacts</t>
  </si>
  <si>
    <t>Не написал</t>
  </si>
  <si>
    <t>Высокий</t>
  </si>
  <si>
    <t>4 филиала; спортпит, доставка</t>
  </si>
  <si>
    <t>SportFood</t>
  </si>
  <si>
    <t>см. 2GIS: WhatsApp/онлайн-консультация</t>
  </si>
  <si>
    <t>https://2gis.kz/astana/search/Спортфит</t>
  </si>
  <si>
    <t>2 филиала; спортпит, доставка</t>
  </si>
  <si>
    <t>Body Factory</t>
  </si>
  <si>
    <t>см. 2GIS: связаться с нами</t>
  </si>
  <si>
    <t>https://2gis.kz/astana/search/Доставка%20спортивного%20питания</t>
  </si>
  <si>
    <t>Манас 4; спортпит, доставка</t>
  </si>
  <si>
    <t>MASSA.KZ</t>
  </si>
  <si>
    <t>+7 701 422 33 21</t>
  </si>
  <si>
    <t>Северное сияние, Достык 5; спортпит</t>
  </si>
  <si>
    <t>Victory in Sport</t>
  </si>
  <si>
    <t>8 775 000 92 15</t>
  </si>
  <si>
    <t>https://www.instagram.com/victoryinsport/</t>
  </si>
  <si>
    <t>https://2gis.kz/astana/firm/70000001018442018</t>
  </si>
  <si>
    <t>Витамины, БАДы, спортпит</t>
  </si>
  <si>
    <t>Fitness Formula Astana</t>
  </si>
  <si>
    <t>https://www.instagram.com/fitnessformula_astana/</t>
  </si>
  <si>
    <t>Спортпит / витамины</t>
  </si>
  <si>
    <t>EcoShop</t>
  </si>
  <si>
    <t>см. 2GIS: Instagram/доставка</t>
  </si>
  <si>
    <t>https://2gis.kz/astana/search/Спортивное%20питание/rubricId/1233</t>
  </si>
  <si>
    <t>Средний</t>
  </si>
  <si>
    <t>ЗОЖ-продукты, спортпит, 12 филиалов</t>
  </si>
  <si>
    <t>Alinur Sport</t>
  </si>
  <si>
    <t>см. Instagram/Direct</t>
  </si>
  <si>
    <t>https://www.instagram.com/alinur__sport/</t>
  </si>
  <si>
    <t>Спорттовары/доставка, Ильяс Омаров 2</t>
  </si>
  <si>
    <t>Косметика</t>
  </si>
  <si>
    <t>Kiwano</t>
  </si>
  <si>
    <t>см. 2GIS: WhatsApp</t>
  </si>
  <si>
    <t>https://www.instagram.com/kiwano.astana/</t>
  </si>
  <si>
    <t>https://2gis.kz/astana/firm/70000001047554145</t>
  </si>
  <si>
    <t>Корейская косметика, Кенесары 44</t>
  </si>
  <si>
    <t>Asian Beauty</t>
  </si>
  <si>
    <t>+7 701 982 ... (2GIS показывает частично)</t>
  </si>
  <si>
    <t>https://asianbeauty.kz</t>
  </si>
  <si>
    <t>https://2gis.kz/astana/firm/70000001026461162</t>
  </si>
  <si>
    <t>Корейская косметика, 2 филиала</t>
  </si>
  <si>
    <t>Esona</t>
  </si>
  <si>
    <t>см. Instagram/2GIS</t>
  </si>
  <si>
    <t>https://www.instagram.com/esona.cosmetics/</t>
  </si>
  <si>
    <t>https://2gis.kz/astana/search/Корейская%20косметика%20рядом</t>
  </si>
  <si>
    <t>Кажымукана 22; корейская косметика</t>
  </si>
  <si>
    <t>Avida</t>
  </si>
  <si>
    <t>+7 777 860 ... (2GIS показывает частично)</t>
  </si>
  <si>
    <t>https://2gis.kz/astana/firm/70000001067029672</t>
  </si>
  <si>
    <t>Косметика и парфюмерия</t>
  </si>
  <si>
    <t>O'sima / cosmi.opt</t>
  </si>
  <si>
    <t>+7 707 805 5575</t>
  </si>
  <si>
    <t>https://www.instagram.com/cosmi.opt/</t>
  </si>
  <si>
    <t>Сеть магазинов корейской косметики</t>
  </si>
  <si>
    <t>Mir Kosmetiki Astana</t>
  </si>
  <si>
    <t>см. Direct / WhatsApp</t>
  </si>
  <si>
    <t>https://www.instagram.com/mir_kosmetiki.astana.kz/</t>
  </si>
  <si>
    <t>Айнакол 62; косметика оптом/розница</t>
  </si>
  <si>
    <t>I LIKE Korean Cosmetics</t>
  </si>
  <si>
    <t>https://www.instagram.com/i_like_koreancosmetics/</t>
  </si>
  <si>
    <t>Корейская косметика, доставка</t>
  </si>
  <si>
    <t>Zolywka_kz</t>
  </si>
  <si>
    <t>8 708 617 14 62</t>
  </si>
  <si>
    <t>https://www.instagram.com/p/DQqZm_yiIuB/</t>
  </si>
  <si>
    <t>Корейская косметика, ТЦ Grand Park / Ауэзова 4</t>
  </si>
  <si>
    <t>Cosmetica_kz_astana</t>
  </si>
  <si>
    <t>+7 700 122 30 60</t>
  </si>
  <si>
    <t>https://2gis.kz/astana/search/Магазины%20косметики%20рядом</t>
  </si>
  <si>
    <t>Косметика, уход/декоративная</t>
  </si>
  <si>
    <t>Зоотовары</t>
  </si>
  <si>
    <t>Zoo_City</t>
  </si>
  <si>
    <t>8 (7172) 383-591</t>
  </si>
  <si>
    <t>https://zoocity.kz/</t>
  </si>
  <si>
    <t>Зоомагазин, Маскеу 29</t>
  </si>
  <si>
    <t>ZooBoni.kz</t>
  </si>
  <si>
    <t>+7 (778) 990-01-99; 8 708 590 98 13; 8 700 713 48 63</t>
  </si>
  <si>
    <t>https://www.instagram.com/zooboni.kz/</t>
  </si>
  <si>
    <t>Сеть зоомагазинов; несколько адресов</t>
  </si>
  <si>
    <t>ZooKing</t>
  </si>
  <si>
    <t>см. 2GIS: WhatsApp/позвонить</t>
  </si>
  <si>
    <t>https://2gis.kz/astana/search/Зоомагазины%20астана%20рядом</t>
  </si>
  <si>
    <t>Улица Алматы 5; зоотовары, доставка</t>
  </si>
  <si>
    <t>Лунный Кот</t>
  </si>
  <si>
    <t>см. 2GIS</t>
  </si>
  <si>
    <t>Мангилик Ел 19/2</t>
  </si>
  <si>
    <t>ЗооПолис</t>
  </si>
  <si>
    <t>см. 2GIS: быстрый заказ в WhatsApp</t>
  </si>
  <si>
    <t>https://2gis.kz/astana/search/Зоомагазины%20с%20доставкой</t>
  </si>
  <si>
    <t>6 филиалов; зоотовары, доставка</t>
  </si>
  <si>
    <t>Крошка Бонни</t>
  </si>
  <si>
    <t>8 708 590 98 13; 8 700 713 48 63</t>
  </si>
  <si>
    <t>https://www.instagram.com/p/DCOUtpyucAm/</t>
  </si>
  <si>
    <t>9 филиалов; зоотовары</t>
  </si>
  <si>
    <t>Shiba Petstore</t>
  </si>
  <si>
    <t>87081803609</t>
  </si>
  <si>
    <t>https://www.instagram.com/shiba_petstore/</t>
  </si>
  <si>
    <t>Лакомства/зоотовары</t>
  </si>
  <si>
    <t>ЗооЛавка / Zoolavka Gres</t>
  </si>
  <si>
    <t>8 707 584 88 02</t>
  </si>
  <si>
    <t>https://www.instagram.com/p/DUVQgLyjNKK/</t>
  </si>
  <si>
    <t>Зоотовары, доставка</t>
  </si>
  <si>
    <t>Царь Зверей</t>
  </si>
  <si>
    <t>см. сайт</t>
  </si>
  <si>
    <t>https://czv.kz/</t>
  </si>
  <si>
    <t>Корм/товары для животных</t>
  </si>
  <si>
    <t>Автозапчасти</t>
  </si>
  <si>
    <t>GLOBAL PARTS</t>
  </si>
  <si>
    <t>https://2gis.kz/astana/search/Корея%20запчасти</t>
  </si>
  <si>
    <t>Запчасти на все авто, заказ из Кореи</t>
  </si>
  <si>
    <t>Вся Корея</t>
  </si>
  <si>
    <t>https://2gis.kz/astana/search/Магазин%20автозапчастей,астана</t>
  </si>
  <si>
    <t>4 филиала; автозапчасти</t>
  </si>
  <si>
    <t>KOREAN AUTO PARTS</t>
  </si>
  <si>
    <t>Hyundai/Kia/SsangYong, 3 филиала</t>
  </si>
  <si>
    <t>Автотрейд</t>
  </si>
  <si>
    <t>+7 7718 005 525</t>
  </si>
  <si>
    <t>https://www.instagram.com/reel/Cxr4m1BITmg/</t>
  </si>
  <si>
    <t>https://2gis.kz/astana/search/Автозапчасти</t>
  </si>
  <si>
    <t>Автозапчасти, автостекла</t>
  </si>
  <si>
    <t>Ken-Auto</t>
  </si>
  <si>
    <t>+7 776 053 73 73; +7 707 053 73 73</t>
  </si>
  <si>
    <t>https://www.instagram.com/ken_auto.astana/</t>
  </si>
  <si>
    <t>Hyundai/Kia запчасти</t>
  </si>
  <si>
    <t>Aziadrive Auto Parts</t>
  </si>
  <si>
    <t>8 777 234 56 76; 8 747 202 24 94</t>
  </si>
  <si>
    <t>https://www.instagram.com/reel/DVyXMMFDJ9e/</t>
  </si>
  <si>
    <t>Акжол 102; автозапчасти</t>
  </si>
  <si>
    <t>Shinline</t>
  </si>
  <si>
    <t>+7 707 627 27 27</t>
  </si>
  <si>
    <t>https://2gis.kz/astana/search/Автомагазины</t>
  </si>
  <si>
    <t>Шины</t>
  </si>
  <si>
    <t>AKB CENTRE</t>
  </si>
  <si>
    <t>Аккумуляторы, доставка, установка</t>
  </si>
  <si>
    <t>Телефонные аксессуары</t>
  </si>
  <si>
    <t>TechnoKhan</t>
  </si>
  <si>
    <t>https://2gis.kz/astana/search/Дешевые%20аксессуары%20для%20телефона</t>
  </si>
  <si>
    <t>9 филиалов; аксессуары</t>
  </si>
  <si>
    <t>Goodok</t>
  </si>
  <si>
    <t>см. 2GIS / Instagram</t>
  </si>
  <si>
    <t>https://2gis.kz/astana/search/Магазин%20аксессуаров%20для%20мобильных%20телефонов%20рядом</t>
  </si>
  <si>
    <t>Аксессуары, ремонт/сервис</t>
  </si>
  <si>
    <t>Radjabov Mobile</t>
  </si>
  <si>
    <t>см. 2GIS: Telegram bot</t>
  </si>
  <si>
    <t>Мобильные телефоны, Apple, trade-in</t>
  </si>
  <si>
    <t>kzset.astana</t>
  </si>
  <si>
    <t>+7 702 888 86 51</t>
  </si>
  <si>
    <t>https://www.instagram.com/kzset.astana/</t>
  </si>
  <si>
    <t>iPhone/аксессуары</t>
  </si>
  <si>
    <t>MaxStore</t>
  </si>
  <si>
    <t>https://www.instagram.com/max_store.kz/</t>
  </si>
  <si>
    <t>Запчасти телефонов, ТЖ Галерея</t>
  </si>
  <si>
    <t>Детские товары</t>
  </si>
  <si>
    <t>Giraffe</t>
  </si>
  <si>
    <t>https://2gis.kz/astana/search/Магазины%20детских%20товаров</t>
  </si>
  <si>
    <t>Коляски, автокресла, детские товары</t>
  </si>
  <si>
    <t>Mandarino</t>
  </si>
  <si>
    <t>Детская одежда, 3 филиала</t>
  </si>
  <si>
    <t>Uti-Puti</t>
  </si>
  <si>
    <t>https://2gis.kz/astana/search/Рядом%20детский%20магазин</t>
  </si>
  <si>
    <t>Детские товары 0–8 лет, 2 филиала</t>
  </si>
  <si>
    <t>Kinderstore Astana</t>
  </si>
  <si>
    <t>см. Instagram: WhatsApp-кнопка</t>
  </si>
  <si>
    <t>https://www.instagram.com/kinderstore_astana/</t>
  </si>
  <si>
    <t>10 магазинов; игрушки/одежда</t>
  </si>
  <si>
    <t>Ask — CRM подключения заведений</t>
  </si>
  <si>
    <t>Всего лидов</t>
  </si>
  <si>
    <t>Написал</t>
  </si>
  <si>
    <t>Принял</t>
  </si>
  <si>
    <t>Не принял</t>
  </si>
  <si>
    <t>Конверсия в принятие</t>
  </si>
  <si>
    <t>Лидов</t>
  </si>
  <si>
    <t>Статусы</t>
  </si>
  <si>
    <t>Приоритеты</t>
  </si>
  <si>
    <t>Классы компаний</t>
  </si>
  <si>
    <t>Низкий</t>
  </si>
  <si>
    <t>Инструкция</t>
  </si>
  <si>
    <t>1</t>
  </si>
  <si>
    <t>Фильтруй лист «Лиды» по городу, классу компании и приоритету.</t>
  </si>
  <si>
    <t>2</t>
  </si>
  <si>
    <t>Меняй статус в колонке G: Не написал → Написал → Принял / Не принял.</t>
  </si>
  <si>
    <t>3</t>
  </si>
  <si>
    <t>В колонках I/J отмечай дату последнего контакта и дату follow-up.</t>
  </si>
  <si>
    <t>4</t>
  </si>
  <si>
    <t>Если номер скрыт, открывай ссылку 2GIS/Instagram и пиши через WhatsApp/Direct.</t>
  </si>
  <si>
    <t>5</t>
  </si>
  <si>
    <t>Ссылки-источники указаны в колонке F, чтобы быстро проверить актуальность.</t>
  </si>
  <si>
    <t>6</t>
  </si>
  <si>
    <t>Дашборд обновляется формулами автоматически.</t>
  </si>
  <si>
    <t>7</t>
  </si>
  <si>
    <t>Можно добавлять новые города и компании внизу таблицы.</t>
  </si>
  <si>
    <t>8</t>
  </si>
  <si>
    <t>Перед массовой рассылкой лучше вручную проверить номер/аккаунт в источнике.</t>
  </si>
  <si>
    <t>Beauty Top</t>
  </si>
  <si>
    <t>Vanil</t>
  </si>
  <si>
    <t>Попросили уточнить КП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</si>
</sst>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343B1B"/>
      <name val="Carlito"/>
    </font>
    <font>
      <b/>
      <sz val="11"/>
      <color rgb="FF3971B8"/>
      <name val="Carlito"/>
    </font>
    <font>
      <b/>
      <sz val="11"/>
      <name val="Carlito"/>
    </font>
    <font>
      <sz val="11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3971B8"/>
      </patternFill>
    </fill>
    <fill>
      <patternFill patternType="solid">
        <fgColor rgb="FF343B1B"/>
      </patternFill>
    </fill>
    <fill>
      <patternFill patternType="solid">
        <fgColor rgb="FFFBFCEE"/>
      </patternFill>
    </fill>
    <fill>
      <patternFill patternType="solid">
        <fgColor rgb="FFFFFFFF"/>
      </patternFill>
    </fill>
    <fill>
      <patternFill patternType="solid">
        <fgColor rgb="FFF6E6A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/>
    </xf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wrapText="1"/>
    </xf>
    <xf numFmtId="0" fontId="4" fillId="5" borderId="0" xfId="1" applyFont="1" applyFill="1" applyAlignment="1">
      <alignment wrapText="1"/>
    </xf>
    <xf numFmtId="164" fontId="4" fillId="5" borderId="0" xfId="1" applyNumberFormat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horizontal="center"/>
    </xf>
    <xf numFmtId="3" fontId="0" fillId="0" borderId="0" xfId="1" applyNumberFormat="1" applyFont="1" applyAlignment="1">
      <alignment vertical="top" wrapText="1"/>
    </xf>
    <xf numFmtId="0" fontId="2" fillId="3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</cellXfs>
  <cellStyles count="2">
    <cellStyle name="Normal" xfId="1" xr:uid="{00000000-0005-0000-0000-000000000000}"/>
    <cellStyle name="Обычный" xfId="0" builtinId="0"/>
  </cellStyles>
  <dxfs count="6">
    <dxf>
      <font>
        <color rgb="FF92400E"/>
      </font>
    </dxf>
    <dxf>
      <font>
        <b/>
        <color rgb="FFB91C1C"/>
      </font>
    </dxf>
    <dxf>
      <fill>
        <patternFill patternType="solid">
          <bgColor rgb="FFF3C5C5"/>
        </patternFill>
      </fill>
    </dxf>
    <dxf>
      <fill>
        <patternFill patternType="solid">
          <bgColor rgb="FFC8D69B"/>
        </patternFill>
      </fill>
    </dxf>
    <dxf>
      <fill>
        <patternFill patternType="solid">
          <bgColor rgb="FFCFE8FF"/>
        </patternFill>
      </fill>
    </dxf>
    <dxf>
      <fill>
        <patternFill patternType="solid">
          <bgColor rgb="FFF6E6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dsTable" displayName="LeadsTable" ref="A1:K46">
  <tableColumns count="11">
    <tableColumn id="1" xr3:uid="{00000000-0010-0000-0000-000001000000}" name="Город"/>
    <tableColumn id="2" xr3:uid="{00000000-0010-0000-0000-000002000000}" name="Класс компании"/>
    <tableColumn id="3" xr3:uid="{00000000-0010-0000-0000-000003000000}" name="Компания"/>
    <tableColumn id="4" xr3:uid="{00000000-0010-0000-0000-000004000000}" name="Номер / WhatsApp"/>
    <tableColumn id="5" xr3:uid="{00000000-0010-0000-0000-000005000000}" name="Instagram / сайт"/>
    <tableColumn id="6" xr3:uid="{00000000-0010-0000-0000-000006000000}" name="2GIS / источник"/>
    <tableColumn id="7" xr3:uid="{00000000-0010-0000-0000-000007000000}" name="Статус"/>
    <tableColumn id="8" xr3:uid="{00000000-0010-0000-0000-000008000000}" name="Приоритет"/>
    <tableColumn id="9" xr3:uid="{00000000-0010-0000-0000-000009000000}" name="Дата последнего контакта"/>
    <tableColumn id="10" xr3:uid="{00000000-0010-0000-0000-00000A000000}" name="Следующий follow-up"/>
    <tableColumn id="11" xr3:uid="{00000000-0010-0000-0000-00000B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B1" zoomScale="70" zoomScaleNormal="70" workbookViewId="0">
      <selection activeCell="F4" sqref="F4"/>
    </sheetView>
  </sheetViews>
  <sheetFormatPr defaultRowHeight="14"/>
  <cols>
    <col min="1" max="1" width="14" customWidth="1"/>
    <col min="2" max="2" width="22" customWidth="1"/>
    <col min="3" max="3" width="28" customWidth="1"/>
    <col min="4" max="4" width="30" customWidth="1"/>
    <col min="5" max="5" width="34" customWidth="1"/>
    <col min="6" max="6" width="45" customWidth="1"/>
    <col min="7" max="7" width="16" customWidth="1"/>
    <col min="8" max="8" width="14" customWidth="1"/>
    <col min="9" max="9" width="24.5" bestFit="1" customWidth="1"/>
    <col min="10" max="10" width="20.1640625" bestFit="1" customWidth="1"/>
    <col min="11" max="11" width="40" customWidth="1"/>
  </cols>
  <sheetData>
    <row r="1" spans="1:11" ht="18.64999999999999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8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15</v>
      </c>
      <c r="G2" s="4" t="s">
        <v>185</v>
      </c>
      <c r="H2" s="4" t="s">
        <v>17</v>
      </c>
      <c r="I2" s="4"/>
      <c r="J2" s="4"/>
      <c r="K2" s="4" t="s">
        <v>18</v>
      </c>
    </row>
    <row r="3" spans="1:11" ht="28">
      <c r="A3" s="4" t="s">
        <v>11</v>
      </c>
      <c r="B3" s="4" t="s">
        <v>12</v>
      </c>
      <c r="C3" s="4" t="s">
        <v>19</v>
      </c>
      <c r="D3" s="4" t="s">
        <v>20</v>
      </c>
      <c r="E3" s="4"/>
      <c r="F3" s="4" t="s">
        <v>21</v>
      </c>
      <c r="G3" s="4" t="s">
        <v>183</v>
      </c>
      <c r="H3" s="4" t="s">
        <v>17</v>
      </c>
      <c r="I3" s="4"/>
      <c r="J3" s="4"/>
      <c r="K3" s="4" t="s">
        <v>22</v>
      </c>
    </row>
    <row r="4" spans="1:11" ht="28">
      <c r="A4" s="4" t="s">
        <v>11</v>
      </c>
      <c r="B4" s="4" t="s">
        <v>12</v>
      </c>
      <c r="C4" s="4" t="s">
        <v>23</v>
      </c>
      <c r="D4" s="4" t="s">
        <v>24</v>
      </c>
      <c r="E4" s="4"/>
      <c r="F4" s="4" t="s">
        <v>25</v>
      </c>
      <c r="G4" s="4" t="s">
        <v>183</v>
      </c>
      <c r="H4" s="4" t="s">
        <v>17</v>
      </c>
      <c r="I4" s="4"/>
      <c r="J4" s="4" t="s">
        <v>211</v>
      </c>
      <c r="K4" s="4" t="s">
        <v>26</v>
      </c>
    </row>
    <row r="5" spans="1:11" ht="28">
      <c r="A5" s="4" t="s">
        <v>11</v>
      </c>
      <c r="B5" s="4" t="s">
        <v>12</v>
      </c>
      <c r="C5" s="4" t="s">
        <v>27</v>
      </c>
      <c r="D5" s="4" t="s">
        <v>28</v>
      </c>
      <c r="E5" s="4"/>
      <c r="F5" s="4" t="s">
        <v>25</v>
      </c>
      <c r="G5" s="4" t="s">
        <v>184</v>
      </c>
      <c r="H5" s="4" t="s">
        <v>17</v>
      </c>
      <c r="I5" s="4"/>
      <c r="J5" s="4"/>
      <c r="K5" s="4" t="s">
        <v>29</v>
      </c>
    </row>
    <row r="6" spans="1:11" ht="28">
      <c r="A6" s="4" t="s">
        <v>11</v>
      </c>
      <c r="B6" s="4" t="s">
        <v>12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183</v>
      </c>
      <c r="H6" s="4" t="s">
        <v>17</v>
      </c>
      <c r="I6" s="4"/>
      <c r="J6" s="4"/>
      <c r="K6" s="4" t="s">
        <v>34</v>
      </c>
    </row>
    <row r="7" spans="1:11" ht="28">
      <c r="A7" s="4" t="s">
        <v>11</v>
      </c>
      <c r="B7" s="4" t="s">
        <v>12</v>
      </c>
      <c r="C7" s="4" t="s">
        <v>35</v>
      </c>
      <c r="D7" s="4" t="s">
        <v>31</v>
      </c>
      <c r="E7" s="4" t="s">
        <v>36</v>
      </c>
      <c r="F7" s="4" t="s">
        <v>36</v>
      </c>
      <c r="G7" s="4" t="s">
        <v>184</v>
      </c>
      <c r="H7" s="4" t="s">
        <v>17</v>
      </c>
      <c r="I7" s="4"/>
      <c r="J7" s="4"/>
      <c r="K7" s="4" t="s">
        <v>37</v>
      </c>
    </row>
    <row r="8" spans="1:11" ht="28">
      <c r="A8" s="4" t="s">
        <v>11</v>
      </c>
      <c r="B8" s="4" t="s">
        <v>12</v>
      </c>
      <c r="C8" s="4" t="s">
        <v>38</v>
      </c>
      <c r="D8" s="4" t="s">
        <v>39</v>
      </c>
      <c r="E8" s="4"/>
      <c r="F8" s="4" t="s">
        <v>40</v>
      </c>
      <c r="G8" s="4" t="s">
        <v>183</v>
      </c>
      <c r="H8" s="4" t="s">
        <v>41</v>
      </c>
      <c r="I8" s="4"/>
      <c r="J8" s="4"/>
      <c r="K8" s="4" t="s">
        <v>42</v>
      </c>
    </row>
    <row r="9" spans="1:11">
      <c r="A9" s="4" t="s">
        <v>11</v>
      </c>
      <c r="B9" s="4" t="s">
        <v>12</v>
      </c>
      <c r="C9" s="4" t="s">
        <v>43</v>
      </c>
      <c r="D9" s="4" t="s">
        <v>44</v>
      </c>
      <c r="E9" s="4" t="s">
        <v>45</v>
      </c>
      <c r="F9" s="4" t="s">
        <v>45</v>
      </c>
      <c r="G9" s="4" t="s">
        <v>183</v>
      </c>
      <c r="H9" s="4" t="s">
        <v>41</v>
      </c>
      <c r="I9" s="4"/>
      <c r="J9" s="4"/>
      <c r="K9" s="4" t="s">
        <v>46</v>
      </c>
    </row>
    <row r="10" spans="1:11" ht="28">
      <c r="A10" s="4" t="s">
        <v>11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183</v>
      </c>
      <c r="H10" s="4" t="s">
        <v>17</v>
      </c>
      <c r="I10" s="4"/>
      <c r="J10" s="4"/>
      <c r="K10" s="4" t="s">
        <v>52</v>
      </c>
    </row>
    <row r="11" spans="1:11" ht="28">
      <c r="A11" s="4" t="s">
        <v>11</v>
      </c>
      <c r="B11" s="4" t="s">
        <v>47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183</v>
      </c>
      <c r="H11" s="4" t="s">
        <v>17</v>
      </c>
      <c r="I11" s="4"/>
      <c r="J11" s="4"/>
      <c r="K11" s="4" t="s">
        <v>57</v>
      </c>
    </row>
    <row r="12" spans="1:11" ht="28">
      <c r="A12" s="4" t="s">
        <v>11</v>
      </c>
      <c r="B12" s="4" t="s">
        <v>47</v>
      </c>
      <c r="C12" s="4" t="s">
        <v>58</v>
      </c>
      <c r="D12" s="4" t="s">
        <v>59</v>
      </c>
      <c r="E12" s="4" t="s">
        <v>60</v>
      </c>
      <c r="F12" s="4" t="s">
        <v>61</v>
      </c>
      <c r="G12" s="4" t="s">
        <v>183</v>
      </c>
      <c r="H12" s="4" t="s">
        <v>17</v>
      </c>
      <c r="I12" s="4"/>
      <c r="J12" s="4"/>
      <c r="K12" s="4" t="s">
        <v>62</v>
      </c>
    </row>
    <row r="13" spans="1:11" ht="28">
      <c r="A13" s="4" t="s">
        <v>11</v>
      </c>
      <c r="B13" s="4" t="s">
        <v>47</v>
      </c>
      <c r="C13" s="4" t="s">
        <v>63</v>
      </c>
      <c r="D13" s="4" t="s">
        <v>64</v>
      </c>
      <c r="E13" s="4"/>
      <c r="F13" s="4" t="s">
        <v>65</v>
      </c>
      <c r="G13" s="4" t="s">
        <v>183</v>
      </c>
      <c r="H13" s="4" t="s">
        <v>41</v>
      </c>
      <c r="I13" s="4"/>
      <c r="J13" s="4"/>
      <c r="K13" s="4" t="s">
        <v>66</v>
      </c>
    </row>
    <row r="14" spans="1:11">
      <c r="A14" s="4" t="s">
        <v>11</v>
      </c>
      <c r="B14" s="4" t="s">
        <v>47</v>
      </c>
      <c r="C14" s="4" t="s">
        <v>67</v>
      </c>
      <c r="D14" s="4" t="s">
        <v>68</v>
      </c>
      <c r="E14" s="4" t="s">
        <v>69</v>
      </c>
      <c r="F14" s="4" t="s">
        <v>69</v>
      </c>
      <c r="G14" s="4" t="s">
        <v>183</v>
      </c>
      <c r="H14" s="4" t="s">
        <v>17</v>
      </c>
      <c r="I14" s="4"/>
      <c r="J14" s="4"/>
      <c r="K14" s="4" t="s">
        <v>70</v>
      </c>
    </row>
    <row r="15" spans="1:11" ht="28">
      <c r="A15" s="4" t="s">
        <v>11</v>
      </c>
      <c r="B15" s="4" t="s">
        <v>47</v>
      </c>
      <c r="C15" s="4" t="s">
        <v>71</v>
      </c>
      <c r="D15" s="4" t="s">
        <v>72</v>
      </c>
      <c r="E15" s="4" t="s">
        <v>73</v>
      </c>
      <c r="F15" s="4" t="s">
        <v>73</v>
      </c>
      <c r="G15" s="4" t="s">
        <v>184</v>
      </c>
      <c r="H15" s="4" t="s">
        <v>41</v>
      </c>
      <c r="I15" s="4"/>
      <c r="J15" s="4"/>
      <c r="K15" s="4" t="s">
        <v>74</v>
      </c>
    </row>
    <row r="16" spans="1:11" ht="28">
      <c r="A16" s="4" t="s">
        <v>11</v>
      </c>
      <c r="B16" s="4" t="s">
        <v>47</v>
      </c>
      <c r="C16" s="4" t="s">
        <v>75</v>
      </c>
      <c r="D16" s="4" t="s">
        <v>44</v>
      </c>
      <c r="E16" s="4" t="s">
        <v>76</v>
      </c>
      <c r="F16" s="4" t="s">
        <v>76</v>
      </c>
      <c r="G16" s="4" t="s">
        <v>183</v>
      </c>
      <c r="H16" s="4" t="s">
        <v>41</v>
      </c>
      <c r="I16" s="4"/>
      <c r="J16" s="4"/>
      <c r="K16" s="4" t="s">
        <v>77</v>
      </c>
    </row>
    <row r="17" spans="1:11" ht="28">
      <c r="A17" s="4" t="s">
        <v>11</v>
      </c>
      <c r="B17" s="4" t="s">
        <v>47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183</v>
      </c>
      <c r="H17" s="4" t="s">
        <v>41</v>
      </c>
      <c r="I17" s="4"/>
      <c r="J17" s="4"/>
      <c r="K17" s="4" t="s">
        <v>81</v>
      </c>
    </row>
    <row r="18" spans="1:11" ht="28">
      <c r="A18" s="4" t="s">
        <v>11</v>
      </c>
      <c r="B18" s="4" t="s">
        <v>47</v>
      </c>
      <c r="C18" s="4" t="s">
        <v>82</v>
      </c>
      <c r="D18" s="4" t="s">
        <v>83</v>
      </c>
      <c r="E18" s="4"/>
      <c r="F18" s="4" t="s">
        <v>84</v>
      </c>
      <c r="G18" s="4" t="s">
        <v>183</v>
      </c>
      <c r="H18" s="4" t="s">
        <v>41</v>
      </c>
      <c r="I18" s="4"/>
      <c r="J18" s="4"/>
      <c r="K18" s="4" t="s">
        <v>85</v>
      </c>
    </row>
    <row r="19" spans="1:11">
      <c r="A19" s="4" t="s">
        <v>11</v>
      </c>
      <c r="B19" s="4" t="s">
        <v>47</v>
      </c>
      <c r="C19" s="4" t="s">
        <v>209</v>
      </c>
      <c r="D19" s="10">
        <v>77055256833</v>
      </c>
      <c r="E19" s="4"/>
      <c r="F19" s="4"/>
      <c r="G19" s="4" t="s">
        <v>183</v>
      </c>
      <c r="H19" s="4" t="s">
        <v>41</v>
      </c>
      <c r="I19" s="4"/>
      <c r="J19" s="4"/>
      <c r="K19" s="4" t="s">
        <v>85</v>
      </c>
    </row>
    <row r="20" spans="1:11">
      <c r="A20" s="4" t="s">
        <v>11</v>
      </c>
      <c r="B20" s="4" t="s">
        <v>47</v>
      </c>
      <c r="C20" s="4" t="s">
        <v>210</v>
      </c>
      <c r="D20" s="10">
        <v>77071066024</v>
      </c>
      <c r="E20" s="4"/>
      <c r="F20" s="4"/>
      <c r="G20" s="4" t="s">
        <v>183</v>
      </c>
      <c r="H20" s="4" t="s">
        <v>41</v>
      </c>
      <c r="I20" s="4"/>
      <c r="J20" s="4"/>
      <c r="K20" s="4" t="s">
        <v>85</v>
      </c>
    </row>
    <row r="21" spans="1:11">
      <c r="A21" s="4" t="s">
        <v>11</v>
      </c>
      <c r="B21" s="4" t="s">
        <v>86</v>
      </c>
      <c r="C21" s="4" t="s">
        <v>87</v>
      </c>
      <c r="D21" s="4" t="s">
        <v>88</v>
      </c>
      <c r="E21" s="4" t="s">
        <v>89</v>
      </c>
      <c r="F21" s="4" t="s">
        <v>89</v>
      </c>
      <c r="G21" s="4" t="s">
        <v>16</v>
      </c>
      <c r="H21" s="4" t="s">
        <v>17</v>
      </c>
      <c r="I21" s="4"/>
      <c r="J21" s="4"/>
      <c r="K21" s="4" t="s">
        <v>90</v>
      </c>
    </row>
    <row r="22" spans="1:11" ht="28">
      <c r="A22" s="4" t="s">
        <v>11</v>
      </c>
      <c r="B22" s="4" t="s">
        <v>86</v>
      </c>
      <c r="C22" s="4" t="s">
        <v>91</v>
      </c>
      <c r="D22" s="4" t="s">
        <v>92</v>
      </c>
      <c r="E22" s="4" t="s">
        <v>93</v>
      </c>
      <c r="F22" s="4" t="s">
        <v>93</v>
      </c>
      <c r="G22" s="4" t="s">
        <v>16</v>
      </c>
      <c r="H22" s="4" t="s">
        <v>17</v>
      </c>
      <c r="I22" s="4"/>
      <c r="J22" s="4"/>
      <c r="K22" s="4" t="s">
        <v>94</v>
      </c>
    </row>
    <row r="23" spans="1:11" ht="28">
      <c r="A23" s="4" t="s">
        <v>11</v>
      </c>
      <c r="B23" s="4" t="s">
        <v>86</v>
      </c>
      <c r="C23" s="4" t="s">
        <v>95</v>
      </c>
      <c r="D23" s="4" t="s">
        <v>96</v>
      </c>
      <c r="E23" s="4"/>
      <c r="F23" s="4" t="s">
        <v>97</v>
      </c>
      <c r="G23" s="4" t="s">
        <v>16</v>
      </c>
      <c r="H23" s="4" t="s">
        <v>41</v>
      </c>
      <c r="I23" s="4"/>
      <c r="J23" s="4"/>
      <c r="K23" s="4" t="s">
        <v>98</v>
      </c>
    </row>
    <row r="24" spans="1:11" ht="28">
      <c r="A24" s="4" t="s">
        <v>11</v>
      </c>
      <c r="B24" s="4" t="s">
        <v>86</v>
      </c>
      <c r="C24" s="4" t="s">
        <v>99</v>
      </c>
      <c r="D24" s="4" t="s">
        <v>100</v>
      </c>
      <c r="E24" s="4"/>
      <c r="F24" s="4" t="s">
        <v>97</v>
      </c>
      <c r="G24" s="4" t="s">
        <v>16</v>
      </c>
      <c r="H24" s="4" t="s">
        <v>41</v>
      </c>
      <c r="I24" s="4"/>
      <c r="J24" s="4"/>
      <c r="K24" s="4" t="s">
        <v>101</v>
      </c>
    </row>
    <row r="25" spans="1:11" ht="28">
      <c r="A25" s="4" t="s">
        <v>11</v>
      </c>
      <c r="B25" s="4" t="s">
        <v>86</v>
      </c>
      <c r="C25" s="4" t="s">
        <v>102</v>
      </c>
      <c r="D25" s="4" t="s">
        <v>103</v>
      </c>
      <c r="E25" s="4"/>
      <c r="F25" s="4" t="s">
        <v>104</v>
      </c>
      <c r="G25" s="4" t="s">
        <v>16</v>
      </c>
      <c r="H25" s="4" t="s">
        <v>17</v>
      </c>
      <c r="I25" s="4"/>
      <c r="J25" s="4"/>
      <c r="K25" s="4" t="s">
        <v>105</v>
      </c>
    </row>
    <row r="26" spans="1:11" ht="28">
      <c r="A26" s="4" t="s">
        <v>11</v>
      </c>
      <c r="B26" s="4" t="s">
        <v>86</v>
      </c>
      <c r="C26" s="4" t="s">
        <v>106</v>
      </c>
      <c r="D26" s="4" t="s">
        <v>107</v>
      </c>
      <c r="E26" s="4" t="s">
        <v>108</v>
      </c>
      <c r="F26" s="4" t="s">
        <v>104</v>
      </c>
      <c r="G26" s="4" t="s">
        <v>16</v>
      </c>
      <c r="H26" s="4" t="s">
        <v>17</v>
      </c>
      <c r="I26" s="4"/>
      <c r="J26" s="4"/>
      <c r="K26" s="4" t="s">
        <v>109</v>
      </c>
    </row>
    <row r="27" spans="1:11" ht="28">
      <c r="A27" s="4" t="s">
        <v>11</v>
      </c>
      <c r="B27" s="4" t="s">
        <v>86</v>
      </c>
      <c r="C27" s="4" t="s">
        <v>110</v>
      </c>
      <c r="D27" s="4" t="s">
        <v>111</v>
      </c>
      <c r="E27" s="4" t="s">
        <v>112</v>
      </c>
      <c r="F27" s="4" t="s">
        <v>112</v>
      </c>
      <c r="G27" s="4" t="s">
        <v>16</v>
      </c>
      <c r="H27" s="4" t="s">
        <v>41</v>
      </c>
      <c r="I27" s="4"/>
      <c r="J27" s="4"/>
      <c r="K27" s="4" t="s">
        <v>113</v>
      </c>
    </row>
    <row r="28" spans="1:11" ht="28">
      <c r="A28" s="4" t="s">
        <v>11</v>
      </c>
      <c r="B28" s="4" t="s">
        <v>86</v>
      </c>
      <c r="C28" s="4" t="s">
        <v>114</v>
      </c>
      <c r="D28" s="4" t="s">
        <v>115</v>
      </c>
      <c r="E28" s="4" t="s">
        <v>116</v>
      </c>
      <c r="F28" s="4" t="s">
        <v>116</v>
      </c>
      <c r="G28" s="4" t="s">
        <v>16</v>
      </c>
      <c r="H28" s="4" t="s">
        <v>41</v>
      </c>
      <c r="I28" s="4"/>
      <c r="J28" s="4"/>
      <c r="K28" s="4" t="s">
        <v>117</v>
      </c>
    </row>
    <row r="29" spans="1:11">
      <c r="A29" s="4" t="s">
        <v>11</v>
      </c>
      <c r="B29" s="4" t="s">
        <v>86</v>
      </c>
      <c r="C29" s="4" t="s">
        <v>118</v>
      </c>
      <c r="D29" s="4" t="s">
        <v>119</v>
      </c>
      <c r="E29" s="4" t="s">
        <v>120</v>
      </c>
      <c r="F29" s="4" t="s">
        <v>120</v>
      </c>
      <c r="G29" s="4" t="s">
        <v>16</v>
      </c>
      <c r="H29" s="4" t="s">
        <v>41</v>
      </c>
      <c r="I29" s="4"/>
      <c r="J29" s="4"/>
      <c r="K29" s="4" t="s">
        <v>121</v>
      </c>
    </row>
    <row r="30" spans="1:11">
      <c r="A30" s="4" t="s">
        <v>11</v>
      </c>
      <c r="B30" s="4" t="s">
        <v>122</v>
      </c>
      <c r="C30" s="4" t="s">
        <v>123</v>
      </c>
      <c r="D30" s="4" t="s">
        <v>49</v>
      </c>
      <c r="E30" s="4"/>
      <c r="F30" s="4" t="s">
        <v>124</v>
      </c>
      <c r="G30" s="4" t="s">
        <v>183</v>
      </c>
      <c r="H30" s="4" t="s">
        <v>17</v>
      </c>
      <c r="I30" s="4"/>
      <c r="J30" s="4"/>
      <c r="K30" s="4" t="s">
        <v>125</v>
      </c>
    </row>
    <row r="31" spans="1:11" ht="28">
      <c r="A31" s="4" t="s">
        <v>11</v>
      </c>
      <c r="B31" s="4" t="s">
        <v>122</v>
      </c>
      <c r="C31" s="4" t="s">
        <v>126</v>
      </c>
      <c r="D31" s="4" t="s">
        <v>100</v>
      </c>
      <c r="E31" s="4"/>
      <c r="F31" s="4" t="s">
        <v>127</v>
      </c>
      <c r="G31" s="4" t="s">
        <v>183</v>
      </c>
      <c r="H31" s="4" t="s">
        <v>17</v>
      </c>
      <c r="I31" s="4"/>
      <c r="J31" s="4"/>
      <c r="K31" s="4" t="s">
        <v>128</v>
      </c>
    </row>
    <row r="32" spans="1:11">
      <c r="A32" s="4" t="s">
        <v>11</v>
      </c>
      <c r="B32" s="4" t="s">
        <v>122</v>
      </c>
      <c r="C32" s="4" t="s">
        <v>129</v>
      </c>
      <c r="D32" s="4" t="s">
        <v>100</v>
      </c>
      <c r="E32" s="4"/>
      <c r="F32" s="4" t="s">
        <v>124</v>
      </c>
      <c r="G32" s="4" t="s">
        <v>184</v>
      </c>
      <c r="H32" s="4" t="s">
        <v>17</v>
      </c>
      <c r="I32" s="4"/>
      <c r="J32" s="4"/>
      <c r="K32" s="4" t="s">
        <v>130</v>
      </c>
    </row>
    <row r="33" spans="1:11" ht="28">
      <c r="A33" s="4" t="s">
        <v>11</v>
      </c>
      <c r="B33" s="4" t="s">
        <v>122</v>
      </c>
      <c r="C33" s="4" t="s">
        <v>131</v>
      </c>
      <c r="D33" s="4" t="s">
        <v>132</v>
      </c>
      <c r="E33" s="4" t="s">
        <v>133</v>
      </c>
      <c r="F33" s="4" t="s">
        <v>134</v>
      </c>
      <c r="G33" s="4" t="s">
        <v>16</v>
      </c>
      <c r="H33" s="4" t="s">
        <v>41</v>
      </c>
      <c r="I33" s="4"/>
      <c r="J33" s="4"/>
      <c r="K33" s="4" t="s">
        <v>135</v>
      </c>
    </row>
    <row r="34" spans="1:11" ht="28">
      <c r="A34" s="4" t="s">
        <v>11</v>
      </c>
      <c r="B34" s="4" t="s">
        <v>122</v>
      </c>
      <c r="C34" s="4" t="s">
        <v>136</v>
      </c>
      <c r="D34" s="4" t="s">
        <v>137</v>
      </c>
      <c r="E34" s="4" t="s">
        <v>138</v>
      </c>
      <c r="F34" s="4" t="s">
        <v>138</v>
      </c>
      <c r="G34" s="4" t="s">
        <v>16</v>
      </c>
      <c r="H34" s="4" t="s">
        <v>17</v>
      </c>
      <c r="I34" s="4"/>
      <c r="J34" s="4"/>
      <c r="K34" s="4" t="s">
        <v>139</v>
      </c>
    </row>
    <row r="35" spans="1:11" ht="28">
      <c r="A35" s="4" t="s">
        <v>11</v>
      </c>
      <c r="B35" s="4" t="s">
        <v>122</v>
      </c>
      <c r="C35" s="4" t="s">
        <v>140</v>
      </c>
      <c r="D35" s="4" t="s">
        <v>141</v>
      </c>
      <c r="E35" s="4" t="s">
        <v>142</v>
      </c>
      <c r="F35" s="4" t="s">
        <v>142</v>
      </c>
      <c r="G35" s="4" t="s">
        <v>16</v>
      </c>
      <c r="H35" s="4" t="s">
        <v>41</v>
      </c>
      <c r="I35" s="4"/>
      <c r="J35" s="4"/>
      <c r="K35" s="4" t="s">
        <v>143</v>
      </c>
    </row>
    <row r="36" spans="1:11">
      <c r="A36" s="4" t="s">
        <v>11</v>
      </c>
      <c r="B36" s="4" t="s">
        <v>122</v>
      </c>
      <c r="C36" s="4" t="s">
        <v>144</v>
      </c>
      <c r="D36" s="4" t="s">
        <v>145</v>
      </c>
      <c r="E36" s="4"/>
      <c r="F36" s="4" t="s">
        <v>146</v>
      </c>
      <c r="G36" s="4" t="s">
        <v>16</v>
      </c>
      <c r="H36" s="4" t="s">
        <v>41</v>
      </c>
      <c r="I36" s="4"/>
      <c r="J36" s="4"/>
      <c r="K36" s="4" t="s">
        <v>147</v>
      </c>
    </row>
    <row r="37" spans="1:11">
      <c r="A37" s="4" t="s">
        <v>11</v>
      </c>
      <c r="B37" s="4" t="s">
        <v>122</v>
      </c>
      <c r="C37" s="4" t="s">
        <v>148</v>
      </c>
      <c r="D37" s="4" t="s">
        <v>100</v>
      </c>
      <c r="E37" s="4"/>
      <c r="F37" s="4" t="s">
        <v>146</v>
      </c>
      <c r="G37" s="4" t="s">
        <v>16</v>
      </c>
      <c r="H37" s="4" t="s">
        <v>41</v>
      </c>
      <c r="I37" s="4"/>
      <c r="J37" s="4"/>
      <c r="K37" s="4" t="s">
        <v>149</v>
      </c>
    </row>
    <row r="38" spans="1:11" ht="28">
      <c r="A38" s="4" t="s">
        <v>11</v>
      </c>
      <c r="B38" s="4" t="s">
        <v>150</v>
      </c>
      <c r="C38" s="4" t="s">
        <v>151</v>
      </c>
      <c r="D38" s="4" t="s">
        <v>100</v>
      </c>
      <c r="E38" s="4"/>
      <c r="F38" s="4" t="s">
        <v>152</v>
      </c>
      <c r="G38" s="4" t="s">
        <v>16</v>
      </c>
      <c r="H38" s="4" t="s">
        <v>41</v>
      </c>
      <c r="I38" s="4"/>
      <c r="J38" s="4"/>
      <c r="K38" s="4" t="s">
        <v>153</v>
      </c>
    </row>
    <row r="39" spans="1:11" ht="28">
      <c r="A39" s="4" t="s">
        <v>11</v>
      </c>
      <c r="B39" s="4" t="s">
        <v>150</v>
      </c>
      <c r="C39" s="4" t="s">
        <v>154</v>
      </c>
      <c r="D39" s="4" t="s">
        <v>155</v>
      </c>
      <c r="E39" s="4"/>
      <c r="F39" s="4" t="s">
        <v>156</v>
      </c>
      <c r="G39" s="4" t="s">
        <v>16</v>
      </c>
      <c r="H39" s="4" t="s">
        <v>41</v>
      </c>
      <c r="I39" s="4"/>
      <c r="J39" s="4"/>
      <c r="K39" s="4" t="s">
        <v>157</v>
      </c>
    </row>
    <row r="40" spans="1:11" ht="28">
      <c r="A40" s="4" t="s">
        <v>11</v>
      </c>
      <c r="B40" s="4" t="s">
        <v>150</v>
      </c>
      <c r="C40" s="4" t="s">
        <v>158</v>
      </c>
      <c r="D40" s="4" t="s">
        <v>159</v>
      </c>
      <c r="E40" s="4"/>
      <c r="F40" s="4" t="s">
        <v>156</v>
      </c>
      <c r="G40" s="4" t="s">
        <v>16</v>
      </c>
      <c r="H40" s="4" t="s">
        <v>41</v>
      </c>
      <c r="I40" s="4"/>
      <c r="J40" s="4"/>
      <c r="K40" s="4" t="s">
        <v>160</v>
      </c>
    </row>
    <row r="41" spans="1:11" ht="28">
      <c r="A41" s="4" t="s">
        <v>11</v>
      </c>
      <c r="B41" s="4" t="s">
        <v>150</v>
      </c>
      <c r="C41" s="4" t="s">
        <v>161</v>
      </c>
      <c r="D41" s="4" t="s">
        <v>162</v>
      </c>
      <c r="E41" s="4" t="s">
        <v>163</v>
      </c>
      <c r="F41" s="4" t="s">
        <v>163</v>
      </c>
      <c r="G41" s="4" t="s">
        <v>16</v>
      </c>
      <c r="H41" s="4" t="s">
        <v>41</v>
      </c>
      <c r="I41" s="4"/>
      <c r="J41" s="4"/>
      <c r="K41" s="4" t="s">
        <v>164</v>
      </c>
    </row>
    <row r="42" spans="1:11" ht="28">
      <c r="A42" s="4" t="s">
        <v>11</v>
      </c>
      <c r="B42" s="4" t="s">
        <v>150</v>
      </c>
      <c r="C42" s="4" t="s">
        <v>165</v>
      </c>
      <c r="D42" s="4" t="s">
        <v>72</v>
      </c>
      <c r="E42" s="4" t="s">
        <v>166</v>
      </c>
      <c r="F42" s="4" t="s">
        <v>166</v>
      </c>
      <c r="G42" s="4" t="s">
        <v>16</v>
      </c>
      <c r="H42" s="4" t="s">
        <v>41</v>
      </c>
      <c r="I42" s="4"/>
      <c r="J42" s="4"/>
      <c r="K42" s="4" t="s">
        <v>167</v>
      </c>
    </row>
    <row r="43" spans="1:11" ht="28">
      <c r="A43" s="4" t="s">
        <v>11</v>
      </c>
      <c r="B43" s="4" t="s">
        <v>168</v>
      </c>
      <c r="C43" s="4" t="s">
        <v>169</v>
      </c>
      <c r="D43" s="4" t="s">
        <v>155</v>
      </c>
      <c r="E43" s="4"/>
      <c r="F43" s="4" t="s">
        <v>170</v>
      </c>
      <c r="G43" s="4" t="s">
        <v>16</v>
      </c>
      <c r="H43" s="4" t="s">
        <v>41</v>
      </c>
      <c r="I43" s="4"/>
      <c r="J43" s="4"/>
      <c r="K43" s="4" t="s">
        <v>171</v>
      </c>
    </row>
    <row r="44" spans="1:11" ht="28">
      <c r="A44" s="4" t="s">
        <v>11</v>
      </c>
      <c r="B44" s="4" t="s">
        <v>168</v>
      </c>
      <c r="C44" s="4" t="s">
        <v>172</v>
      </c>
      <c r="D44" s="4" t="s">
        <v>155</v>
      </c>
      <c r="E44" s="4"/>
      <c r="F44" s="4" t="s">
        <v>170</v>
      </c>
      <c r="G44" s="4" t="s">
        <v>16</v>
      </c>
      <c r="H44" s="4" t="s">
        <v>41</v>
      </c>
      <c r="I44" s="4"/>
      <c r="J44" s="4"/>
      <c r="K44" s="4" t="s">
        <v>173</v>
      </c>
    </row>
    <row r="45" spans="1:11" ht="28">
      <c r="A45" s="4" t="s">
        <v>11</v>
      </c>
      <c r="B45" s="4" t="s">
        <v>168</v>
      </c>
      <c r="C45" s="4" t="s">
        <v>174</v>
      </c>
      <c r="D45" s="4" t="s">
        <v>49</v>
      </c>
      <c r="E45" s="4"/>
      <c r="F45" s="4" t="s">
        <v>175</v>
      </c>
      <c r="G45" s="4" t="s">
        <v>16</v>
      </c>
      <c r="H45" s="4" t="s">
        <v>41</v>
      </c>
      <c r="I45" s="4"/>
      <c r="J45" s="4"/>
      <c r="K45" s="4" t="s">
        <v>176</v>
      </c>
    </row>
    <row r="46" spans="1:11" ht="28">
      <c r="A46" s="4" t="s">
        <v>11</v>
      </c>
      <c r="B46" s="4" t="s">
        <v>168</v>
      </c>
      <c r="C46" s="4" t="s">
        <v>177</v>
      </c>
      <c r="D46" s="4" t="s">
        <v>178</v>
      </c>
      <c r="E46" s="4" t="s">
        <v>179</v>
      </c>
      <c r="F46" s="4" t="s">
        <v>179</v>
      </c>
      <c r="G46" s="4" t="s">
        <v>16</v>
      </c>
      <c r="H46" s="4" t="s">
        <v>41</v>
      </c>
      <c r="I46" s="4"/>
      <c r="J46" s="4"/>
      <c r="K46" s="4" t="s">
        <v>180</v>
      </c>
    </row>
  </sheetData>
  <phoneticPr fontId="7" type="noConversion"/>
  <conditionalFormatting sqref="G2:G46">
    <cfRule type="expression" dxfId="5" priority="1">
      <formula>G2="Не написал"</formula>
    </cfRule>
    <cfRule type="expression" dxfId="4" priority="2">
      <formula>G2="Написал"</formula>
    </cfRule>
    <cfRule type="expression" dxfId="3" priority="3">
      <formula>G2="Принял"</formula>
    </cfRule>
    <cfRule type="expression" dxfId="2" priority="4">
      <formula>G2="Не принял"</formula>
    </cfRule>
  </conditionalFormatting>
  <conditionalFormatting sqref="H2:H46">
    <cfRule type="expression" dxfId="1" priority="5">
      <formula>H2="Высокий"</formula>
    </cfRule>
    <cfRule type="expression" dxfId="0" priority="6">
      <formula>H2="Средний"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Справочники!$A$2:$A$5</xm:f>
          </x14:formula1>
          <xm:sqref>G2:G245</xm:sqref>
        </x14:dataValidation>
        <x14:dataValidation type="list" xr:uid="{00000000-0002-0000-0000-000001000000}">
          <x14:formula1>
            <xm:f>Справочники!$B$2:$B$4</xm:f>
          </x14:formula1>
          <xm:sqref>H2:H245</xm:sqref>
        </x14:dataValidation>
        <x14:dataValidation type="list" xr:uid="{00000000-0002-0000-0000-000002000000}">
          <x14:formula1>
            <xm:f>Справочники!$C$2:$C$7</xm:f>
          </x14:formula1>
          <xm:sqref>B2:B245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"/>
  <cols>
    <col min="1" max="3" width="24" customWidth="1"/>
  </cols>
  <sheetData>
    <row r="1" spans="1:8" ht="20">
      <c r="A1" s="11" t="s">
        <v>181</v>
      </c>
      <c r="B1" s="11"/>
      <c r="C1" s="11"/>
      <c r="D1" s="11"/>
      <c r="E1" s="11"/>
      <c r="F1" s="11"/>
      <c r="G1" s="11"/>
      <c r="H1" s="11"/>
    </row>
    <row r="3" spans="1:8">
      <c r="A3" s="5" t="s">
        <v>182</v>
      </c>
      <c r="B3" s="6">
        <f>COUNTA(Лиды!C2:C46)</f>
        <v>45</v>
      </c>
    </row>
    <row r="4" spans="1:8">
      <c r="A4" s="5" t="s">
        <v>16</v>
      </c>
      <c r="B4" s="6">
        <f>COUNTIF(Лиды!G2:G46,"Не написал")</f>
        <v>23</v>
      </c>
    </row>
    <row r="5" spans="1:8">
      <c r="A5" s="5" t="s">
        <v>183</v>
      </c>
      <c r="B5" s="6">
        <f>COUNTIF(Лиды!G2:G46,"Написал")</f>
        <v>17</v>
      </c>
    </row>
    <row r="6" spans="1:8">
      <c r="A6" s="5" t="s">
        <v>184</v>
      </c>
      <c r="B6" s="6">
        <f>COUNTIF(Лиды!G2:G46,"Принял")</f>
        <v>4</v>
      </c>
    </row>
    <row r="7" spans="1:8">
      <c r="A7" s="5" t="s">
        <v>185</v>
      </c>
      <c r="B7" s="6">
        <f>COUNTIF(Лиды!G2:G46,"Не принял")</f>
        <v>1</v>
      </c>
    </row>
    <row r="8" spans="1:8">
      <c r="A8" s="5" t="s">
        <v>186</v>
      </c>
      <c r="B8" s="7">
        <f>IFERROR(B6/(B4+B5+B6+B7),0)</f>
        <v>8.8888888888888892E-2</v>
      </c>
    </row>
    <row r="10" spans="1:8">
      <c r="A10" s="1" t="s">
        <v>1</v>
      </c>
      <c r="B10" s="1" t="s">
        <v>187</v>
      </c>
      <c r="C10" s="1" t="s">
        <v>184</v>
      </c>
    </row>
    <row r="11" spans="1:8">
      <c r="A11" s="2" t="s">
        <v>122</v>
      </c>
      <c r="B11" s="2">
        <f>COUNTIF(Лиды!B:B,A11)</f>
        <v>8</v>
      </c>
      <c r="C11" s="2">
        <f>COUNTIFS(Лиды!B:B,A11,Лиды!G:G,"Принял")</f>
        <v>1</v>
      </c>
    </row>
    <row r="12" spans="1:8">
      <c r="A12" s="2" t="s">
        <v>168</v>
      </c>
      <c r="B12" s="2">
        <f>COUNTIF(Лиды!B:B,A12)</f>
        <v>4</v>
      </c>
      <c r="C12" s="2">
        <f>COUNTIFS(Лиды!B:B,A12,Лиды!G:G,"Принял")</f>
        <v>0</v>
      </c>
    </row>
    <row r="13" spans="1:8">
      <c r="A13" s="2" t="s">
        <v>86</v>
      </c>
      <c r="B13" s="2">
        <f>COUNTIF(Лиды!B:B,A13)</f>
        <v>9</v>
      </c>
      <c r="C13" s="2">
        <f>COUNTIFS(Лиды!B:B,A13,Лиды!G:G,"Принял")</f>
        <v>0</v>
      </c>
    </row>
    <row r="14" spans="1:8">
      <c r="A14" s="2" t="s">
        <v>47</v>
      </c>
      <c r="B14" s="2">
        <f>COUNTIF(Лиды!B:B,A14)</f>
        <v>11</v>
      </c>
      <c r="C14" s="2">
        <f>COUNTIFS(Лиды!B:B,A14,Лиды!G:G,"Принял")</f>
        <v>1</v>
      </c>
    </row>
    <row r="15" spans="1:8">
      <c r="A15" s="2" t="s">
        <v>12</v>
      </c>
      <c r="B15" s="2">
        <f>COUNTIF(Лиды!B:B,A15)</f>
        <v>8</v>
      </c>
      <c r="C15" s="2">
        <f>COUNTIFS(Лиды!B:B,A15,Лиды!G:G,"Принял")</f>
        <v>2</v>
      </c>
    </row>
    <row r="16" spans="1:8">
      <c r="A16" s="2" t="s">
        <v>150</v>
      </c>
      <c r="B16" s="2">
        <f>COUNTIF(Лиды!B:B,A16)</f>
        <v>5</v>
      </c>
      <c r="C16" s="2">
        <f>COUNTIFS(Лиды!B:B,A16,Лиды!G:G,"Принял")</f>
        <v>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"/>
  <cols>
    <col min="1" max="3" width="24" customWidth="1"/>
  </cols>
  <sheetData>
    <row r="1" spans="1:3">
      <c r="A1" s="8" t="s">
        <v>188</v>
      </c>
      <c r="B1" s="8" t="s">
        <v>189</v>
      </c>
      <c r="C1" s="8" t="s">
        <v>190</v>
      </c>
    </row>
    <row r="2" spans="1:3">
      <c r="A2" s="2" t="s">
        <v>16</v>
      </c>
      <c r="B2" s="2" t="s">
        <v>17</v>
      </c>
      <c r="C2" s="2" t="s">
        <v>122</v>
      </c>
    </row>
    <row r="3" spans="1:3">
      <c r="A3" s="2" t="s">
        <v>183</v>
      </c>
      <c r="B3" s="2" t="s">
        <v>41</v>
      </c>
      <c r="C3" s="2" t="s">
        <v>168</v>
      </c>
    </row>
    <row r="4" spans="1:3">
      <c r="A4" s="2" t="s">
        <v>184</v>
      </c>
      <c r="B4" s="2" t="s">
        <v>191</v>
      </c>
      <c r="C4" s="2" t="s">
        <v>86</v>
      </c>
    </row>
    <row r="5" spans="1:3">
      <c r="A5" s="2" t="s">
        <v>185</v>
      </c>
      <c r="B5" s="2"/>
      <c r="C5" s="2" t="s">
        <v>47</v>
      </c>
    </row>
    <row r="6" spans="1:3">
      <c r="A6" s="2"/>
      <c r="B6" s="2"/>
      <c r="C6" s="2" t="s">
        <v>12</v>
      </c>
    </row>
    <row r="7" spans="1:3">
      <c r="A7" s="2"/>
      <c r="B7" s="2"/>
      <c r="C7" s="2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4"/>
  <cols>
    <col min="1" max="1" width="8" customWidth="1"/>
    <col min="2" max="2" width="80" customWidth="1"/>
  </cols>
  <sheetData>
    <row r="1" spans="1:6" ht="20">
      <c r="A1" s="12" t="s">
        <v>192</v>
      </c>
      <c r="B1" s="12"/>
      <c r="C1" s="12"/>
      <c r="D1" s="12"/>
      <c r="E1" s="12"/>
      <c r="F1" s="12"/>
    </row>
    <row r="3" spans="1:6">
      <c r="A3" s="9" t="s">
        <v>193</v>
      </c>
      <c r="B3" s="2" t="s">
        <v>194</v>
      </c>
    </row>
    <row r="4" spans="1:6">
      <c r="A4" s="9" t="s">
        <v>195</v>
      </c>
      <c r="B4" s="2" t="s">
        <v>196</v>
      </c>
    </row>
    <row r="5" spans="1:6">
      <c r="A5" s="9" t="s">
        <v>197</v>
      </c>
      <c r="B5" s="2" t="s">
        <v>198</v>
      </c>
    </row>
    <row r="6" spans="1:6">
      <c r="A6" s="9" t="s">
        <v>199</v>
      </c>
      <c r="B6" s="2" t="s">
        <v>200</v>
      </c>
    </row>
    <row r="7" spans="1:6">
      <c r="A7" s="9" t="s">
        <v>201</v>
      </c>
      <c r="B7" s="2" t="s">
        <v>202</v>
      </c>
    </row>
    <row r="8" spans="1:6">
      <c r="A8" s="9" t="s">
        <v>203</v>
      </c>
      <c r="B8" s="2" t="s">
        <v>204</v>
      </c>
    </row>
    <row r="9" spans="1:6">
      <c r="A9" s="9" t="s">
        <v>205</v>
      </c>
      <c r="B9" s="2" t="s">
        <v>206</v>
      </c>
    </row>
    <row r="10" spans="1:6">
      <c r="A10" s="9" t="s">
        <v>207</v>
      </c>
      <c r="B10" s="2" t="s">
        <v>208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Лиды</vt:lpstr>
      <vt:lpstr>Дашборд</vt:lpstr>
      <vt:lpstr>Справочники</vt:lpstr>
      <vt:lpstr>Как пользоваться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Темирлан Мирзанов</cp:lastModifiedBy>
  <dcterms:modified xsi:type="dcterms:W3CDTF">2026-06-21T16:28:23Z</dcterms:modified>
</cp:coreProperties>
</file>